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CS2510\summer_project\final_data\"/>
    </mc:Choice>
  </mc:AlternateContent>
  <xr:revisionPtr revIDLastSave="0" documentId="13_ncr:1_{606FC09F-DF30-4AA9-80FD-EDD88791621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0" i="1" l="1"/>
  <c r="L9" i="1"/>
  <c r="L8" i="1"/>
  <c r="L5" i="1"/>
  <c r="L4" i="1"/>
  <c r="L3" i="1"/>
  <c r="F20" i="1"/>
  <c r="F19" i="1"/>
  <c r="F18" i="1"/>
  <c r="F15" i="1"/>
  <c r="F14" i="1"/>
  <c r="F13" i="1"/>
  <c r="F10" i="1"/>
  <c r="F9" i="1"/>
  <c r="F8" i="1"/>
  <c r="F4" i="1"/>
  <c r="F5" i="1"/>
  <c r="F3" i="1"/>
</calcChain>
</file>

<file path=xl/sharedStrings.xml><?xml version="1.0" encoding="utf-8"?>
<sst xmlns="http://schemas.openxmlformats.org/spreadsheetml/2006/main" count="40" uniqueCount="11">
  <si>
    <t>Mean</t>
  </si>
  <si>
    <t>Consensus Latency (ms)</t>
  </si>
  <si>
    <t>End to End Latency (ms)</t>
  </si>
  <si>
    <t>End to End Throughput (tx/s)</t>
  </si>
  <si>
    <t>kill_1</t>
  </si>
  <si>
    <t>control</t>
  </si>
  <si>
    <t>site_down</t>
  </si>
  <si>
    <t>kill_2_site_down</t>
  </si>
  <si>
    <t>delay_attack</t>
  </si>
  <si>
    <t>fork_attack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</si>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</sst>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22"/>
  <sheetViews>
    <sheetView tabSelected="1" workbookViewId="0">
      <selection activeCell="L24" sqref="L24"/>
    </sheetView>
  </sheetViews>
  <sheetFormatPr defaultRowHeight="14.4" x14ac:dyDescent="0.3"/>
  <cols>
    <col min="2" max="2" width="24.44140625" bestFit="1" customWidth="1"/>
    <col min="8" max="8" width="24.44140625" bestFit="1" customWidth="1"/>
    <col min="11" max="11" width="9.44140625" bestFit="1" customWidth="1"/>
    <col min="12" max="12" width="14.77734375" bestFit="1" customWidth="1"/>
    <col min="13" max="13" width="11.44140625" bestFit="1" customWidth="1"/>
    <col min="14" max="14" width="10.44140625" bestFit="1" customWidth="1"/>
  </cols>
  <sheetData>
    <row r="2" spans="2:14" x14ac:dyDescent="0.3">
      <c r="B2" s="2" t="s">
        <v>5</v>
      </c>
      <c r="C2">
        <v>1</v>
      </c>
      <c r="D2">
        <v>2</v>
      </c>
      <c r="E2">
        <v>3</v>
      </c>
      <c r="F2" s="1" t="s">
        <v>0</v>
      </c>
      <c r="H2" s="2" t="s">
        <v>8</v>
      </c>
      <c r="I2">
        <v>1</v>
      </c>
      <c r="J2">
        <v>2</v>
      </c>
      <c r="K2">
        <v>3</v>
      </c>
      <c r="L2" s="1" t="s">
        <v>0</v>
      </c>
    </row>
    <row r="3" spans="2:14" x14ac:dyDescent="0.3">
      <c r="B3" t="s">
        <v>1</v>
      </c>
      <c r="C3">
        <v>34</v>
      </c>
      <c r="D3">
        <v>98</v>
      </c>
      <c r="E3">
        <v>146</v>
      </c>
      <c r="F3">
        <f>AVERAGE(C3:E3)</f>
        <v>92.666666666666671</v>
      </c>
      <c r="H3" t="s">
        <v>1</v>
      </c>
      <c r="I3">
        <v>147</v>
      </c>
      <c r="J3">
        <v>71</v>
      </c>
      <c r="K3">
        <v>283</v>
      </c>
      <c r="L3">
        <f>AVERAGE(I3:K3)</f>
        <v>167</v>
      </c>
    </row>
    <row r="4" spans="2:14" x14ac:dyDescent="0.3">
      <c r="B4" t="s">
        <v>2</v>
      </c>
      <c r="C4">
        <v>697</v>
      </c>
      <c r="D4">
        <v>965</v>
      </c>
      <c r="E4">
        <v>510</v>
      </c>
      <c r="F4">
        <f t="shared" ref="F4:F5" si="0">AVERAGE(C4:E4)</f>
        <v>724</v>
      </c>
      <c r="H4" t="s">
        <v>2</v>
      </c>
      <c r="I4">
        <v>734</v>
      </c>
      <c r="J4">
        <v>368</v>
      </c>
      <c r="K4">
        <v>725</v>
      </c>
      <c r="L4">
        <f t="shared" ref="L4:L5" si="1">AVERAGE(I4:K4)</f>
        <v>609</v>
      </c>
    </row>
    <row r="5" spans="2:14" x14ac:dyDescent="0.3">
      <c r="B5" t="s">
        <v>3</v>
      </c>
      <c r="C5">
        <v>814</v>
      </c>
      <c r="D5">
        <v>925</v>
      </c>
      <c r="E5">
        <v>915</v>
      </c>
      <c r="F5">
        <f t="shared" si="0"/>
        <v>884.66666666666663</v>
      </c>
      <c r="H5" t="s">
        <v>3</v>
      </c>
      <c r="I5">
        <v>923</v>
      </c>
      <c r="J5">
        <v>909</v>
      </c>
      <c r="K5">
        <v>913</v>
      </c>
      <c r="L5">
        <f t="shared" si="1"/>
        <v>915</v>
      </c>
    </row>
    <row r="7" spans="2:14" x14ac:dyDescent="0.3">
      <c r="B7" s="2" t="s">
        <v>4</v>
      </c>
      <c r="C7">
        <v>1</v>
      </c>
      <c r="D7">
        <v>2</v>
      </c>
      <c r="E7">
        <v>3</v>
      </c>
      <c r="F7" s="1" t="s">
        <v>0</v>
      </c>
      <c r="H7" s="2" t="s">
        <v>9</v>
      </c>
      <c r="I7">
        <v>1</v>
      </c>
      <c r="J7">
        <v>2</v>
      </c>
      <c r="K7">
        <v>3</v>
      </c>
      <c r="L7" s="1" t="s">
        <v>0</v>
      </c>
    </row>
    <row r="8" spans="2:14" x14ac:dyDescent="0.3">
      <c r="B8" t="s">
        <v>1</v>
      </c>
      <c r="C8">
        <v>144</v>
      </c>
      <c r="D8">
        <v>155</v>
      </c>
      <c r="E8">
        <v>207</v>
      </c>
      <c r="F8">
        <f>AVERAGE(C8:E8)</f>
        <v>168.66666666666666</v>
      </c>
      <c r="H8" t="s">
        <v>1</v>
      </c>
      <c r="I8">
        <v>59</v>
      </c>
      <c r="J8">
        <v>29</v>
      </c>
      <c r="K8">
        <v>242</v>
      </c>
      <c r="L8">
        <f>AVERAGE(I8:K8)</f>
        <v>110</v>
      </c>
    </row>
    <row r="9" spans="2:14" x14ac:dyDescent="0.3">
      <c r="B9" t="s">
        <v>2</v>
      </c>
      <c r="C9">
        <v>1102</v>
      </c>
      <c r="D9">
        <v>802</v>
      </c>
      <c r="E9">
        <v>904</v>
      </c>
      <c r="F9">
        <f t="shared" ref="F9:F10" si="2">AVERAGE(C9:E9)</f>
        <v>936</v>
      </c>
      <c r="H9" t="s">
        <v>2</v>
      </c>
      <c r="I9">
        <v>913</v>
      </c>
      <c r="J9">
        <v>877</v>
      </c>
      <c r="K9">
        <v>1019</v>
      </c>
      <c r="L9">
        <f t="shared" ref="L9:L10" si="3">AVERAGE(I9:K9)</f>
        <v>936.33333333333337</v>
      </c>
    </row>
    <row r="10" spans="2:14" x14ac:dyDescent="0.3">
      <c r="B10" t="s">
        <v>3</v>
      </c>
      <c r="C10">
        <v>920</v>
      </c>
      <c r="D10">
        <v>827</v>
      </c>
      <c r="E10">
        <v>926</v>
      </c>
      <c r="F10">
        <f t="shared" si="2"/>
        <v>891</v>
      </c>
      <c r="H10" t="s">
        <v>3</v>
      </c>
      <c r="I10">
        <v>906</v>
      </c>
      <c r="J10">
        <v>857</v>
      </c>
      <c r="K10">
        <v>923</v>
      </c>
      <c r="L10">
        <f t="shared" si="3"/>
        <v>895.33333333333337</v>
      </c>
    </row>
    <row r="12" spans="2:14" x14ac:dyDescent="0.3">
      <c r="B12" s="2" t="s">
        <v>6</v>
      </c>
      <c r="C12">
        <v>1</v>
      </c>
      <c r="D12">
        <v>2</v>
      </c>
      <c r="E12">
        <v>3</v>
      </c>
      <c r="F12" s="1" t="s">
        <v>0</v>
      </c>
      <c r="H12" s="2" t="s">
        <v>10</v>
      </c>
      <c r="I12" t="s">
        <v>5</v>
      </c>
      <c r="J12" t="s">
        <v>4</v>
      </c>
      <c r="K12" t="s">
        <v>6</v>
      </c>
      <c r="L12" t="s">
        <v>7</v>
      </c>
      <c r="M12" t="s">
        <v>8</v>
      </c>
      <c r="N12" t="s">
        <v>9</v>
      </c>
    </row>
    <row r="13" spans="2:14" x14ac:dyDescent="0.3">
      <c r="B13" t="s">
        <v>1</v>
      </c>
      <c r="C13">
        <v>115</v>
      </c>
      <c r="D13">
        <v>110</v>
      </c>
      <c r="E13">
        <v>89</v>
      </c>
      <c r="F13">
        <f>AVERAGE(C13:E13)</f>
        <v>104.66666666666667</v>
      </c>
      <c r="H13" t="s">
        <v>1</v>
      </c>
      <c r="I13">
        <v>92.6666666666667</v>
      </c>
      <c r="J13">
        <v>168.66666666666666</v>
      </c>
      <c r="K13">
        <v>104.66666666666667</v>
      </c>
      <c r="L13">
        <v>2431</v>
      </c>
      <c r="M13">
        <v>167</v>
      </c>
      <c r="N13">
        <v>110</v>
      </c>
    </row>
    <row r="14" spans="2:14" x14ac:dyDescent="0.3">
      <c r="B14" t="s">
        <v>2</v>
      </c>
      <c r="C14">
        <v>1439</v>
      </c>
      <c r="D14">
        <v>1409</v>
      </c>
      <c r="E14">
        <v>696</v>
      </c>
      <c r="F14">
        <f t="shared" ref="F14:F15" si="4">AVERAGE(C14:E14)</f>
        <v>1181.3333333333333</v>
      </c>
      <c r="H14" t="s">
        <v>2</v>
      </c>
      <c r="I14">
        <v>724</v>
      </c>
      <c r="J14">
        <v>936</v>
      </c>
      <c r="K14">
        <v>1181.3333333333333</v>
      </c>
      <c r="L14">
        <v>4072.6666666666665</v>
      </c>
      <c r="M14">
        <v>609</v>
      </c>
      <c r="N14">
        <v>936.33333333333337</v>
      </c>
    </row>
    <row r="15" spans="2:14" x14ac:dyDescent="0.3">
      <c r="B15" t="s">
        <v>3</v>
      </c>
      <c r="C15">
        <v>882</v>
      </c>
      <c r="D15">
        <v>899</v>
      </c>
      <c r="E15">
        <v>923</v>
      </c>
      <c r="F15">
        <f t="shared" si="4"/>
        <v>901.33333333333337</v>
      </c>
      <c r="H15" t="s">
        <v>3</v>
      </c>
      <c r="I15">
        <v>884.66666666666663</v>
      </c>
      <c r="J15">
        <v>891</v>
      </c>
      <c r="K15">
        <v>901.33333333333337</v>
      </c>
      <c r="L15">
        <v>815</v>
      </c>
      <c r="M15">
        <v>915</v>
      </c>
      <c r="N15">
        <v>895.33333333333337</v>
      </c>
    </row>
    <row r="17" spans="2:6" x14ac:dyDescent="0.3">
      <c r="B17" s="2" t="s">
        <v>7</v>
      </c>
      <c r="C17">
        <v>1</v>
      </c>
      <c r="D17">
        <v>2</v>
      </c>
      <c r="E17">
        <v>3</v>
      </c>
      <c r="F17" s="1" t="s">
        <v>0</v>
      </c>
    </row>
    <row r="18" spans="2:6" x14ac:dyDescent="0.3">
      <c r="B18" t="s">
        <v>1</v>
      </c>
      <c r="C18">
        <v>2142</v>
      </c>
      <c r="D18">
        <v>93</v>
      </c>
      <c r="E18">
        <v>5058</v>
      </c>
      <c r="F18">
        <f>AVERAGE(C18:E18)</f>
        <v>2431</v>
      </c>
    </row>
    <row r="19" spans="2:6" x14ac:dyDescent="0.3">
      <c r="B19" t="s">
        <v>2</v>
      </c>
      <c r="C19">
        <v>3685</v>
      </c>
      <c r="D19">
        <v>838</v>
      </c>
      <c r="E19">
        <v>7695</v>
      </c>
      <c r="F19">
        <f t="shared" ref="F19:F20" si="5">AVERAGE(C19:E19)</f>
        <v>4072.6666666666665</v>
      </c>
    </row>
    <row r="20" spans="2:6" x14ac:dyDescent="0.3">
      <c r="B20" t="s">
        <v>3</v>
      </c>
      <c r="C20">
        <v>833</v>
      </c>
      <c r="D20">
        <v>704</v>
      </c>
      <c r="E20">
        <v>908</v>
      </c>
      <c r="F20">
        <f t="shared" si="5"/>
        <v>815</v>
      </c>
    </row>
    <row r="22" spans="2:6" x14ac:dyDescent="0.3">
      <c r="B22" s="2"/>
      <c r="F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Birju Patel</dc:creator>
  <cp:lastModifiedBy>birju</cp:lastModifiedBy>
  <dcterms:created xsi:type="dcterms:W3CDTF">2015-06-05T18:17:20Z</dcterms:created>
  <dcterms:modified xsi:type="dcterms:W3CDTF">2023-08-27T22:40:27Z</dcterms:modified>
</cp:coreProperties>
</file>